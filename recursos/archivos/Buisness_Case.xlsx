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carlos_gutierrez2_vw_com_mx/Documents/Escritorio/"/>
    </mc:Choice>
  </mc:AlternateContent>
  <xr:revisionPtr revIDLastSave="0" documentId="8_{F38791AC-B6E7-4FCA-A3CE-1660FC2C54D3}" xr6:coauthVersionLast="47" xr6:coauthVersionMax="47" xr10:uidLastSave="{00000000-0000-0000-0000-000000000000}"/>
  <bookViews>
    <workbookView xWindow="-110" yWindow="-110" windowWidth="19420" windowHeight="10300" xr2:uid="{4F01C02B-E74E-4B39-99AD-C78F93742D00}"/>
  </bookViews>
  <sheets>
    <sheet name="BUSINESS CASE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0" l="1"/>
  <c r="I13" i="10" s="1"/>
  <c r="H7" i="10"/>
  <c r="G7" i="10"/>
  <c r="G13" i="10" s="1"/>
  <c r="F7" i="10"/>
  <c r="I11" i="10"/>
  <c r="G11" i="10"/>
  <c r="F11" i="10"/>
  <c r="I23" i="10"/>
  <c r="H23" i="10"/>
  <c r="H11" i="10" s="1"/>
  <c r="G23" i="10"/>
  <c r="F23" i="10"/>
  <c r="F13" i="10" s="1"/>
  <c r="E23" i="10"/>
  <c r="E11" i="10"/>
  <c r="F12" i="10"/>
  <c r="G12" i="10"/>
  <c r="H12" i="10"/>
  <c r="I12" i="10"/>
  <c r="E12" i="10"/>
  <c r="I19" i="10"/>
  <c r="H19" i="10"/>
  <c r="G19" i="10"/>
  <c r="G25" i="10" s="1"/>
  <c r="F19" i="10"/>
  <c r="E19" i="10"/>
  <c r="E10" i="10"/>
  <c r="F10" i="10" s="1"/>
  <c r="G10" i="10" s="1"/>
  <c r="H10" i="10" s="1"/>
  <c r="I10" i="10" l="1"/>
  <c r="I15" i="10" s="1"/>
  <c r="I27" i="10" s="1"/>
  <c r="I21" i="10"/>
  <c r="G15" i="10"/>
  <c r="G21" i="10" s="1"/>
  <c r="E25" i="10"/>
  <c r="E15" i="10"/>
  <c r="E27" i="10" s="1"/>
  <c r="I25" i="10"/>
  <c r="H25" i="10"/>
  <c r="F15" i="10"/>
  <c r="F27" i="10" s="1"/>
  <c r="F21" i="10"/>
  <c r="H13" i="10"/>
  <c r="H15" i="10" s="1"/>
  <c r="G27" i="10"/>
  <c r="G29" i="10" s="1"/>
  <c r="G30" i="10" s="1"/>
  <c r="G31" i="10" s="1"/>
  <c r="G32" i="10" s="1"/>
  <c r="F25" i="10"/>
  <c r="F29" i="10" s="1"/>
  <c r="F30" i="10" s="1"/>
  <c r="F31" i="10" s="1"/>
  <c r="F32" i="10" s="1"/>
  <c r="F33" i="10" s="1"/>
  <c r="H27" i="10" l="1"/>
  <c r="H21" i="10"/>
  <c r="E29" i="10"/>
  <c r="E30" i="10" s="1"/>
  <c r="E31" i="10" s="1"/>
  <c r="E21" i="10"/>
  <c r="H29" i="10"/>
  <c r="H30" i="10" s="1"/>
  <c r="H31" i="10" s="1"/>
  <c r="H32" i="10" s="1"/>
  <c r="I29" i="10"/>
  <c r="I30" i="10" s="1"/>
  <c r="I31" i="10" s="1"/>
  <c r="I32" i="10" s="1"/>
  <c r="G33" i="10"/>
  <c r="H33" i="10" s="1"/>
  <c r="I33" i="10" s="1"/>
  <c r="I34" i="10" s="1"/>
</calcChain>
</file>

<file path=xl/sharedStrings.xml><?xml version="1.0" encoding="utf-8"?>
<sst xmlns="http://schemas.openxmlformats.org/spreadsheetml/2006/main" count="32" uniqueCount="31">
  <si>
    <t>Precio venta</t>
  </si>
  <si>
    <t>Precio sin IVA</t>
  </si>
  <si>
    <t>Margen de utilidad</t>
  </si>
  <si>
    <t>Sueldos</t>
  </si>
  <si>
    <t>AÑO 1</t>
  </si>
  <si>
    <t>Costo unitario</t>
  </si>
  <si>
    <t>Soldadoras</t>
  </si>
  <si>
    <t>Impresoras 3D</t>
  </si>
  <si>
    <t>Costo componentes</t>
  </si>
  <si>
    <t>Costos fijos Equipo</t>
  </si>
  <si>
    <t>Sueldos Producción y ventas</t>
  </si>
  <si>
    <t>Costo maquinaria por año (5 años)</t>
  </si>
  <si>
    <t>AÑO 2</t>
  </si>
  <si>
    <t>AÑO 3</t>
  </si>
  <si>
    <t>AÑO 4</t>
  </si>
  <si>
    <t>AÑO 5</t>
  </si>
  <si>
    <t>Total ventas</t>
  </si>
  <si>
    <t>Total Costos</t>
  </si>
  <si>
    <t xml:space="preserve"> + inflación</t>
  </si>
  <si>
    <t>Publicidad 10% del precio venta</t>
  </si>
  <si>
    <t>Unidades vendidas por año</t>
  </si>
  <si>
    <t>ISR (30%)</t>
  </si>
  <si>
    <t>Resultado antes de impuestos</t>
  </si>
  <si>
    <t>RESULTADO despues de impuestos</t>
  </si>
  <si>
    <t>FONDO OPERACIÓN</t>
  </si>
  <si>
    <t>Utilidad acumulada Inversionista Capitalista</t>
  </si>
  <si>
    <t>Utilidad Inversionista Capitalista 300,000.00 MXP</t>
  </si>
  <si>
    <t>Rendimiento por inversión original</t>
  </si>
  <si>
    <t>COSTOS VARIABLES</t>
  </si>
  <si>
    <t>Entre cantidad de piezas producidas</t>
  </si>
  <si>
    <t>El Inversionista tendrá el 20% de las 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</si>
</sst>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43" fontId="0" fillId="0" borderId="0" xfId="1" applyFont="1"/>
    <xf numFmtId="9" fontId="0" fillId="0" borderId="0" xfId="2" applyFon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43" fontId="2" fillId="0" borderId="0" xfId="1" applyFont="1"/>
    <xf numFmtId="0" fontId="0" fillId="2" borderId="0" xfId="0" applyFill="1"/>
    <xf numFmtId="43" fontId="0" fillId="2" borderId="0" xfId="1" applyFont="1" applyFill="1"/>
    <xf numFmtId="0" fontId="0" fillId="2" borderId="0" xfId="0" applyFill="1" applyAlignment="1">
      <alignment vertical="center"/>
    </xf>
    <xf numFmtId="43" fontId="0" fillId="2" borderId="0" xfId="1" applyFont="1" applyFill="1" applyAlignment="1">
      <alignment vertical="center"/>
    </xf>
    <xf numFmtId="9" fontId="0" fillId="2" borderId="0" xfId="1" applyNumberFormat="1" applyFont="1" applyFill="1" applyAlignment="1">
      <alignment horizontal="center" vertical="center"/>
    </xf>
    <xf numFmtId="43" fontId="0" fillId="2" borderId="1" xfId="1" applyFont="1" applyFill="1" applyBorder="1"/>
    <xf numFmtId="9" fontId="2" fillId="2" borderId="1" xfId="2" applyFont="1" applyFill="1" applyBorder="1" applyAlignment="1">
      <alignment horizontal="center"/>
    </xf>
    <xf numFmtId="43" fontId="0" fillId="2" borderId="0" xfId="1" applyFont="1" applyFill="1" applyAlignment="1">
      <alignment horizontal="center" vertical="center" wrapText="1"/>
    </xf>
    <xf numFmtId="43" fontId="1" fillId="0" borderId="0" xfId="1" applyFont="1"/>
    <xf numFmtId="0" fontId="2" fillId="0" borderId="0" xfId="0" applyFont="1"/>
    <xf numFmtId="0" fontId="2" fillId="2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9094-DF21-46FF-B33E-164A061FB4E3}">
  <dimension ref="A1:N34"/>
  <sheetViews>
    <sheetView tabSelected="1" zoomScale="80" zoomScaleNormal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8" sqref="A8"/>
    </sheetView>
  </sheetViews>
  <sheetFormatPr defaultRowHeight="14.5" x14ac:dyDescent="0.35"/>
  <cols>
    <col min="1" max="1" width="17.453125" customWidth="1"/>
    <col min="2" max="2" width="10.6328125" style="1" bestFit="1" customWidth="1"/>
    <col min="3" max="3" width="12.81640625" style="1" customWidth="1"/>
    <col min="4" max="4" width="2.08984375" customWidth="1"/>
    <col min="5" max="5" width="11.7265625" bestFit="1" customWidth="1"/>
    <col min="6" max="9" width="13.36328125" bestFit="1" customWidth="1"/>
  </cols>
  <sheetData>
    <row r="1" spans="1:10" s="7" customFormat="1" x14ac:dyDescent="0.35">
      <c r="B1" s="8"/>
      <c r="C1" s="8"/>
      <c r="E1" s="7" t="s">
        <v>4</v>
      </c>
      <c r="F1" s="7" t="s">
        <v>12</v>
      </c>
      <c r="G1" s="7" t="s">
        <v>13</v>
      </c>
      <c r="H1" s="7" t="s">
        <v>14</v>
      </c>
      <c r="I1" s="7" t="s">
        <v>15</v>
      </c>
    </row>
    <row r="2" spans="1:10" x14ac:dyDescent="0.35">
      <c r="E2" s="1"/>
      <c r="F2" s="1"/>
      <c r="G2" s="1"/>
      <c r="H2" s="1"/>
      <c r="I2" s="1"/>
      <c r="J2" s="1"/>
    </row>
    <row r="3" spans="1:10" x14ac:dyDescent="0.35">
      <c r="A3" s="4" t="s">
        <v>9</v>
      </c>
      <c r="C3" s="1">
        <v>30000</v>
      </c>
      <c r="E3" s="1"/>
      <c r="F3" s="1"/>
      <c r="G3" s="1"/>
      <c r="H3" s="1"/>
      <c r="I3" s="1"/>
      <c r="J3" s="1"/>
    </row>
    <row r="4" spans="1:10" x14ac:dyDescent="0.35">
      <c r="A4" s="3" t="s">
        <v>7</v>
      </c>
      <c r="B4" s="1">
        <v>20000</v>
      </c>
      <c r="E4" s="1"/>
      <c r="F4" s="1"/>
      <c r="G4" s="1"/>
      <c r="H4" s="1"/>
      <c r="I4" s="1"/>
      <c r="J4" s="1"/>
    </row>
    <row r="5" spans="1:10" x14ac:dyDescent="0.35">
      <c r="A5" s="3" t="s">
        <v>6</v>
      </c>
      <c r="B5" s="1">
        <v>10000</v>
      </c>
      <c r="E5" s="1"/>
      <c r="F5" s="1"/>
      <c r="G5" s="1"/>
      <c r="H5" s="1"/>
      <c r="I5" s="1"/>
      <c r="J5" s="1"/>
    </row>
    <row r="6" spans="1:10" x14ac:dyDescent="0.35">
      <c r="E6" s="1"/>
      <c r="F6" s="1"/>
      <c r="G6" s="1"/>
      <c r="H6" s="1"/>
      <c r="I6" s="1"/>
      <c r="J6" s="1"/>
    </row>
    <row r="7" spans="1:10" x14ac:dyDescent="0.35">
      <c r="A7" s="5" t="s">
        <v>3</v>
      </c>
      <c r="E7" s="1">
        <v>0</v>
      </c>
      <c r="F7" s="1">
        <f>10000*12</f>
        <v>120000</v>
      </c>
      <c r="G7" s="1">
        <f>10000*12</f>
        <v>120000</v>
      </c>
      <c r="H7" s="1">
        <f>20000*12</f>
        <v>240000</v>
      </c>
      <c r="I7" s="1">
        <f>30000*12</f>
        <v>360000</v>
      </c>
      <c r="J7" s="1"/>
    </row>
    <row r="8" spans="1:10" x14ac:dyDescent="0.35">
      <c r="E8" s="1"/>
      <c r="F8" s="1"/>
      <c r="G8" s="1"/>
      <c r="H8" s="1"/>
      <c r="I8" s="1"/>
      <c r="J8" s="1"/>
    </row>
    <row r="9" spans="1:10" x14ac:dyDescent="0.35">
      <c r="A9" t="s">
        <v>28</v>
      </c>
      <c r="E9" s="1"/>
      <c r="F9" s="1"/>
      <c r="G9" s="1"/>
      <c r="H9" s="1"/>
      <c r="I9" s="1"/>
      <c r="J9" s="1"/>
    </row>
    <row r="10" spans="1:10" x14ac:dyDescent="0.35">
      <c r="A10" t="s">
        <v>8</v>
      </c>
      <c r="B10" s="1">
        <v>178</v>
      </c>
      <c r="C10" s="1" t="s">
        <v>18</v>
      </c>
      <c r="E10" s="1">
        <f>+B10</f>
        <v>178</v>
      </c>
      <c r="F10" s="1">
        <f>+E10*1.1</f>
        <v>195.8</v>
      </c>
      <c r="G10" s="1">
        <f>+F10*1.1</f>
        <v>215.38000000000002</v>
      </c>
      <c r="H10" s="1">
        <f>+G10*1.1</f>
        <v>236.91800000000003</v>
      </c>
      <c r="I10" s="1">
        <f>+H10*1.1</f>
        <v>260.60980000000006</v>
      </c>
      <c r="J10" s="1"/>
    </row>
    <row r="11" spans="1:10" ht="29" x14ac:dyDescent="0.35">
      <c r="A11" s="6" t="s">
        <v>11</v>
      </c>
      <c r="B11" s="1">
        <v>6000</v>
      </c>
      <c r="E11" s="1">
        <f>+B11/E23</f>
        <v>5</v>
      </c>
      <c r="F11" s="1">
        <f>+B11/F23</f>
        <v>2.5</v>
      </c>
      <c r="G11" s="1">
        <f>+B11/G23</f>
        <v>2.5</v>
      </c>
      <c r="H11" s="1">
        <f>+B11/H23</f>
        <v>1.6666666666666667</v>
      </c>
      <c r="I11" s="1">
        <f>+B11/I23</f>
        <v>1.25</v>
      </c>
      <c r="J11" s="1"/>
    </row>
    <row r="12" spans="1:10" ht="29" x14ac:dyDescent="0.35">
      <c r="A12" s="6" t="s">
        <v>19</v>
      </c>
      <c r="B12" s="1" t="s">
        <v>29</v>
      </c>
      <c r="E12" s="1">
        <f>+E17*0.1</f>
        <v>60</v>
      </c>
      <c r="F12" s="1">
        <f t="shared" ref="F12:I12" si="0">+F17*0.1</f>
        <v>70</v>
      </c>
      <c r="G12" s="1">
        <f t="shared" si="0"/>
        <v>80</v>
      </c>
      <c r="H12" s="1">
        <f t="shared" si="0"/>
        <v>90</v>
      </c>
      <c r="I12" s="1">
        <f t="shared" si="0"/>
        <v>100</v>
      </c>
      <c r="J12" s="1"/>
    </row>
    <row r="13" spans="1:10" ht="29" x14ac:dyDescent="0.35">
      <c r="A13" s="6" t="s">
        <v>10</v>
      </c>
      <c r="B13" s="1" t="s">
        <v>29</v>
      </c>
      <c r="E13" s="1">
        <v>0</v>
      </c>
      <c r="F13" s="1">
        <f>+F7/F23</f>
        <v>50</v>
      </c>
      <c r="G13" s="1">
        <f t="shared" ref="G13:I13" si="1">+G7/G23</f>
        <v>50</v>
      </c>
      <c r="H13" s="1">
        <f t="shared" si="1"/>
        <v>66.666666666666671</v>
      </c>
      <c r="I13" s="1">
        <f t="shared" si="1"/>
        <v>75</v>
      </c>
      <c r="J13" s="1"/>
    </row>
    <row r="14" spans="1:10" x14ac:dyDescent="0.35">
      <c r="E14" s="1"/>
      <c r="F14" s="1"/>
      <c r="G14" s="1"/>
      <c r="H14" s="1"/>
      <c r="I14" s="1"/>
      <c r="J14" s="1"/>
    </row>
    <row r="15" spans="1:10" x14ac:dyDescent="0.35">
      <c r="A15" s="6" t="s">
        <v>5</v>
      </c>
      <c r="E15" s="1">
        <f>SUM(E10:E14)</f>
        <v>243</v>
      </c>
      <c r="F15" s="1">
        <f t="shared" ref="F15:I15" si="2">SUM(F10:F14)</f>
        <v>318.3</v>
      </c>
      <c r="G15" s="1">
        <f t="shared" si="2"/>
        <v>347.88</v>
      </c>
      <c r="H15" s="1">
        <f t="shared" si="2"/>
        <v>395.25133333333338</v>
      </c>
      <c r="I15" s="1">
        <f t="shared" si="2"/>
        <v>436.85980000000006</v>
      </c>
      <c r="J15" s="1"/>
    </row>
    <row r="16" spans="1:10" x14ac:dyDescent="0.35">
      <c r="E16" s="1"/>
      <c r="F16" s="1"/>
      <c r="G16" s="1"/>
      <c r="H16" s="1"/>
      <c r="I16" s="1"/>
      <c r="J16" s="1"/>
    </row>
    <row r="17" spans="1:14" x14ac:dyDescent="0.35">
      <c r="A17" s="6" t="s">
        <v>0</v>
      </c>
      <c r="E17" s="18">
        <v>600</v>
      </c>
      <c r="F17" s="18">
        <v>700</v>
      </c>
      <c r="G17" s="18">
        <v>800</v>
      </c>
      <c r="H17" s="18">
        <v>900</v>
      </c>
      <c r="I17" s="18">
        <v>1000</v>
      </c>
      <c r="J17" s="1"/>
    </row>
    <row r="18" spans="1:14" x14ac:dyDescent="0.35">
      <c r="E18" s="1"/>
      <c r="F18" s="1"/>
      <c r="G18" s="1"/>
      <c r="H18" s="1"/>
      <c r="I18" s="1"/>
      <c r="J18" s="1"/>
    </row>
    <row r="19" spans="1:14" x14ac:dyDescent="0.35">
      <c r="A19" t="s">
        <v>1</v>
      </c>
      <c r="E19" s="1">
        <f>+E17/1.16</f>
        <v>517.24137931034488</v>
      </c>
      <c r="F19" s="1">
        <f t="shared" ref="F19:I19" si="3">+F17/1.16</f>
        <v>603.44827586206895</v>
      </c>
      <c r="G19" s="1">
        <f t="shared" si="3"/>
        <v>689.65517241379314</v>
      </c>
      <c r="H19" s="1">
        <f t="shared" si="3"/>
        <v>775.86206896551732</v>
      </c>
      <c r="I19" s="1">
        <f t="shared" si="3"/>
        <v>862.06896551724139</v>
      </c>
      <c r="J19" s="1"/>
    </row>
    <row r="20" spans="1:14" x14ac:dyDescent="0.35">
      <c r="E20" s="1"/>
      <c r="F20" s="1"/>
      <c r="G20" s="1"/>
      <c r="H20" s="1"/>
      <c r="I20" s="1"/>
      <c r="J20" s="1"/>
    </row>
    <row r="21" spans="1:14" x14ac:dyDescent="0.35">
      <c r="A21" t="s">
        <v>2</v>
      </c>
      <c r="E21" s="2">
        <f>+E19/E15-1</f>
        <v>1.1285653469561518</v>
      </c>
      <c r="F21" s="2">
        <f t="shared" ref="F21:I21" si="4">+F19/F15-1</f>
        <v>0.89584755218997469</v>
      </c>
      <c r="G21" s="2">
        <f t="shared" si="4"/>
        <v>0.98245134073184182</v>
      </c>
      <c r="H21" s="2">
        <f t="shared" si="4"/>
        <v>0.96295876454690577</v>
      </c>
      <c r="I21" s="2">
        <f t="shared" si="4"/>
        <v>0.97333095312784845</v>
      </c>
      <c r="J21" s="1"/>
    </row>
    <row r="23" spans="1:14" x14ac:dyDescent="0.35">
      <c r="A23" t="s">
        <v>20</v>
      </c>
      <c r="E23">
        <f>100*12</f>
        <v>1200</v>
      </c>
      <c r="F23">
        <f>200*12</f>
        <v>2400</v>
      </c>
      <c r="G23">
        <f>200*12</f>
        <v>2400</v>
      </c>
      <c r="H23">
        <f>300*12</f>
        <v>3600</v>
      </c>
      <c r="I23">
        <f>400*12</f>
        <v>4800</v>
      </c>
    </row>
    <row r="25" spans="1:14" x14ac:dyDescent="0.35">
      <c r="A25" t="s">
        <v>16</v>
      </c>
      <c r="E25" s="1">
        <f>+E19*E23</f>
        <v>620689.65517241391</v>
      </c>
      <c r="F25" s="1">
        <f t="shared" ref="F25:I25" si="5">+F19*F23</f>
        <v>1448275.8620689656</v>
      </c>
      <c r="G25" s="1">
        <f t="shared" si="5"/>
        <v>1655172.4137931035</v>
      </c>
      <c r="H25" s="1">
        <f t="shared" si="5"/>
        <v>2793103.4482758623</v>
      </c>
      <c r="I25" s="1">
        <f t="shared" si="5"/>
        <v>4137931.0344827585</v>
      </c>
    </row>
    <row r="26" spans="1:14" x14ac:dyDescent="0.35">
      <c r="E26" s="1"/>
      <c r="F26" s="1"/>
      <c r="G26" s="1"/>
      <c r="H26" s="1"/>
      <c r="I26" s="1"/>
    </row>
    <row r="27" spans="1:14" x14ac:dyDescent="0.35">
      <c r="A27" t="s">
        <v>17</v>
      </c>
      <c r="E27" s="1">
        <f>+E15*E23</f>
        <v>291600</v>
      </c>
      <c r="F27" s="1">
        <f t="shared" ref="F27:I27" si="6">+F15*F23</f>
        <v>763920</v>
      </c>
      <c r="G27" s="1">
        <f t="shared" si="6"/>
        <v>834912</v>
      </c>
      <c r="H27" s="1">
        <f t="shared" si="6"/>
        <v>1422904.8</v>
      </c>
      <c r="I27" s="1">
        <f t="shared" si="6"/>
        <v>2096927.0400000003</v>
      </c>
    </row>
    <row r="29" spans="1:14" x14ac:dyDescent="0.35">
      <c r="A29" t="s">
        <v>22</v>
      </c>
      <c r="E29" s="1">
        <f>+E25-E27</f>
        <v>329089.65517241391</v>
      </c>
      <c r="F29" s="1">
        <f t="shared" ref="F29:I29" si="7">+F25-F27</f>
        <v>684355.86206896557</v>
      </c>
      <c r="G29" s="1">
        <f t="shared" si="7"/>
        <v>820260.41379310354</v>
      </c>
      <c r="H29" s="1">
        <f t="shared" si="7"/>
        <v>1370198.6482758622</v>
      </c>
      <c r="I29" s="1">
        <f t="shared" si="7"/>
        <v>2041003.9944827582</v>
      </c>
    </row>
    <row r="30" spans="1:14" x14ac:dyDescent="0.35">
      <c r="A30" t="s">
        <v>21</v>
      </c>
      <c r="E30" s="1">
        <f>+E29*0.3</f>
        <v>98726.896551724174</v>
      </c>
      <c r="F30" s="1">
        <f t="shared" ref="F30:I30" si="8">+F29*0.3</f>
        <v>205306.75862068965</v>
      </c>
      <c r="G30" s="1">
        <f t="shared" si="8"/>
        <v>246078.12413793104</v>
      </c>
      <c r="H30" s="1">
        <f t="shared" si="8"/>
        <v>411059.59448275866</v>
      </c>
      <c r="I30" s="1">
        <f t="shared" si="8"/>
        <v>612301.1983448274</v>
      </c>
    </row>
    <row r="31" spans="1:14" x14ac:dyDescent="0.35">
      <c r="A31" s="19" t="s">
        <v>23</v>
      </c>
      <c r="E31" s="9">
        <f>+E29-E30</f>
        <v>230362.75862068974</v>
      </c>
      <c r="F31" s="9">
        <f t="shared" ref="F31:I31" si="9">+F29-F30</f>
        <v>479049.10344827594</v>
      </c>
      <c r="G31" s="9">
        <f t="shared" si="9"/>
        <v>574182.2896551725</v>
      </c>
      <c r="H31" s="9">
        <f t="shared" si="9"/>
        <v>959139.05379310355</v>
      </c>
      <c r="I31" s="9">
        <f t="shared" si="9"/>
        <v>1428702.7961379308</v>
      </c>
    </row>
    <row r="32" spans="1:14" ht="29" customHeight="1" x14ac:dyDescent="0.35">
      <c r="A32" s="12" t="s">
        <v>26</v>
      </c>
      <c r="B32" s="13"/>
      <c r="C32" s="14"/>
      <c r="D32" s="10"/>
      <c r="E32" s="17" t="s">
        <v>24</v>
      </c>
      <c r="F32" s="13">
        <f>+F31*20%</f>
        <v>95809.8206896552</v>
      </c>
      <c r="G32" s="13">
        <f t="shared" ref="G32:I32" si="10">+G31*20%</f>
        <v>114836.4579310345</v>
      </c>
      <c r="H32" s="13">
        <f t="shared" si="10"/>
        <v>191827.81075862073</v>
      </c>
      <c r="I32" s="13">
        <f t="shared" si="10"/>
        <v>285740.5592275862</v>
      </c>
      <c r="J32" s="20" t="s">
        <v>30</v>
      </c>
      <c r="K32" s="20"/>
      <c r="L32" s="20"/>
      <c r="M32" s="20"/>
      <c r="N32" s="20"/>
    </row>
    <row r="33" spans="1:9" x14ac:dyDescent="0.35">
      <c r="A33" s="10" t="s">
        <v>25</v>
      </c>
      <c r="B33" s="11"/>
      <c r="C33" s="11"/>
      <c r="D33" s="10"/>
      <c r="E33" s="17"/>
      <c r="F33" s="11">
        <f>+F32</f>
        <v>95809.8206896552</v>
      </c>
      <c r="G33" s="11">
        <f>+F33+G32</f>
        <v>210646.2786206897</v>
      </c>
      <c r="H33" s="11">
        <f>+G33+H32</f>
        <v>402474.08937931043</v>
      </c>
      <c r="I33" s="15">
        <f>+H33+I32</f>
        <v>688214.64860689663</v>
      </c>
    </row>
    <row r="34" spans="1:9" x14ac:dyDescent="0.35">
      <c r="A34" s="10" t="s">
        <v>27</v>
      </c>
      <c r="B34" s="11"/>
      <c r="C34" s="11"/>
      <c r="D34" s="10"/>
      <c r="E34" s="10"/>
      <c r="F34" s="10"/>
      <c r="G34" s="10"/>
      <c r="H34" s="10"/>
      <c r="I34" s="16">
        <f>+I33/300000</f>
        <v>2.2940488286896557</v>
      </c>
    </row>
  </sheetData>
  <mergeCells count="1">
    <mergeCell ref="E32:E33"/>
  </mergeCells>
  <pageMargins left="0.7" right="0.7" top="0.75" bottom="0.75" header="0.3" footer="0.3"/>
  <pageSetup orientation="portrait" r:id="rId1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Fuentes, Carlos Eduardo (M-E0P)</dc:creator>
  <cp:lastModifiedBy>Gutierrez Fuentes, Carlos Eduardo (M-E0P)</cp:lastModifiedBy>
  <dcterms:created xsi:type="dcterms:W3CDTF">2025-11-28T05:36:46Z</dcterms:created>
  <dcterms:modified xsi:type="dcterms:W3CDTF">2025-11-28T10:06:18Z</dcterms:modified>
</cp:coreProperties>
</file>